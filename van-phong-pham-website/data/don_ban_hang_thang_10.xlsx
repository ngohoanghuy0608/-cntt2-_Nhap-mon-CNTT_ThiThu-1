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128" windowHeight="9060"/>
  </bookViews>
  <sheets>
    <sheet name="DonBan" sheetId="1" r:id="rId1"/>
    <sheet name="SanPha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<sst xmlns="http://schemas.openxmlformats.org/spreadsheetml/2006/main" count="69" uniqueCount="51">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</sst>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Chung" xfId="0" builtinId="0"/>
    <cellStyle name="Dấu phân cách hàng nghìn" xfId="1" builtinId="3"/>
    <cellStyle name="Tiền tệ" xfId="2" builtinId="4"/>
    <cellStyle name="Phần trăm" xfId="3" builtinId="5"/>
    <cellStyle name="Dấu phân cách hàng nghìn [0]" xfId="4" builtinId="6"/>
    <cellStyle name="Tiền tệ[0]" xfId="5" builtinId="7"/>
    <cellStyle name="Siêu liên kết" xfId="6" builtinId="8"/>
    <cellStyle name="Siêu liên kết đã truy cập" xfId="7" builtinId="9"/>
    <cellStyle name="Chú thích" xfId="8" builtinId="10"/>
    <cellStyle name="Văn bản cảnh báo" xfId="9" builtinId="11"/>
    <cellStyle name="Tiêu đề" xfId="10" builtinId="15"/>
    <cellStyle name="Văn bản giải thích" xfId="11" builtinId="53"/>
    <cellStyle name="Tiêu đề 1" xfId="12" builtinId="16"/>
    <cellStyle name="Tiêu đề 2" xfId="13" builtinId="17"/>
    <cellStyle name="Tiêu đề 3" xfId="14" builtinId="18"/>
    <cellStyle name="Tiêu đề 4" xfId="15" builtinId="19"/>
    <cellStyle name="Nhập" xfId="16" builtinId="20"/>
    <cellStyle name="Xuất" xfId="17" builtinId="21"/>
    <cellStyle name="Tính toán" xfId="18" builtinId="22"/>
    <cellStyle name="Kiểm tra ô" xfId="19" builtinId="23"/>
    <cellStyle name="Ô được liên kết" xfId="20" builtinId="24"/>
    <cellStyle name="Tổng hợp" xfId="21" builtinId="25"/>
    <cellStyle name="Đồng ý" xfId="22" builtinId="26"/>
    <cellStyle name="Kém" xfId="23" builtinId="27"/>
    <cellStyle name="Trung bình" xfId="24" builtinId="28"/>
    <cellStyle name="Màu nhấn 1" xfId="25" builtinId="29"/>
    <cellStyle name="20% - Màu nhấn 1" xfId="26" builtinId="30"/>
    <cellStyle name="40% - Màu nhấn 1" xfId="27" builtinId="31"/>
    <cellStyle name="60% - Màu nhấn 1" xfId="28" builtinId="32"/>
    <cellStyle name="Màu nhấn 2" xfId="29" builtinId="33"/>
    <cellStyle name="20% - Màu nhấn 2" xfId="30" builtinId="34"/>
    <cellStyle name="40% - Màu nhấn 2" xfId="31" builtinId="35"/>
    <cellStyle name="60% - Màu nhấn 2" xfId="32" builtinId="36"/>
    <cellStyle name="Màu nhấn 3" xfId="33" builtinId="37"/>
    <cellStyle name="20% - Màu nhấn 3" xfId="34" builtinId="38"/>
    <cellStyle name="40% - Màu nhấn 3" xfId="35" builtinId="39"/>
    <cellStyle name="60% - Màu nhấn 3" xfId="36" builtinId="40"/>
    <cellStyle name="Màu nhấn 4" xfId="37" builtinId="41"/>
    <cellStyle name="20% - Màu nhấn 4" xfId="38" builtinId="42"/>
    <cellStyle name="40% - Màu nhấn 4" xfId="39" builtinId="43"/>
    <cellStyle name="60% - Màu nhấn 4" xfId="40" builtinId="44"/>
    <cellStyle name="Màu nhấn 5" xfId="41" builtinId="45"/>
    <cellStyle name="20% - Màu nhấn 5" xfId="42" builtinId="46"/>
    <cellStyle name="40% - Màu nhấn 5" xfId="43" builtinId="47"/>
    <cellStyle name="60% - Màu nhấn 5" xfId="44" builtinId="48"/>
    <cellStyle name="Màu nhấn 6" xfId="45" builtinId="49"/>
    <cellStyle name="20% - Màu nhấn 6" xfId="46" builtinId="50"/>
    <cellStyle name="40% - Màu nhấn 6" xfId="47" builtinId="51"/>
    <cellStyle name="60% - Màu nhấn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G16" totalsRowShown="0">
  <autoFilter xmlns:etc="http://www.wps.cn/officeDocument/2017/etCustomData" ref="A1:G16" etc:filterBottomFollowUsedRange="0">
    <filterColumn colId="6">
      <filters>
        <filter val="400000"/>
        <filter val="500000"/>
        <filter val="1000000"/>
        <filter val="1250000"/>
      </filters>
    </filterColumn>
  </autoFilter>
  <tableColumns count="7">
    <tableColumn id="1" name="ma_db"/>
    <tableColumn id="2" name="ngay_ban"/>
    <tableColumn id="3" name="ma_sp"/>
    <tableColumn id="4" name="sl_ban"/>
    <tableColumn id="5" name="ten_sp">
      <calculatedColumnFormula>VLOOKUP(C2,SanPham!$A$2:$C$8,2,1)</calculatedColumnFormula>
    </tableColumn>
    <tableColumn id="6" name="gia_ban">
      <calculatedColumnFormula>VLOOKUP(C2,SanPham!$A$2:$C$8,3,1)</calculatedColumnFormula>
    </tableColumn>
    <tableColumn id="7" name="tien_ban">
      <calculatedColumnFormula>D2*F2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21" sqref="F21"/>
    </sheetView>
  </sheetViews>
  <sheetFormatPr defaultColWidth="9" defaultRowHeight="14.4" outlineLevelCol="6"/>
  <cols>
    <col min="1" max="7" width="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4</v>
      </c>
      <c r="E2" t="str">
        <f xml:space="preserve">VLOOKUP(C2,SanPham!$A$2:$C$8,2,1)</f>
        <v>Ke sach mini</v>
      </c>
      <c r="F2">
        <f xml:space="preserve">VLOOKUP(C2,SanPham!$A$2:$C$8,3,1)</f>
        <v>100000</v>
      </c>
      <c r="G2">
        <f xml:space="preserve">D2*F2</f>
        <v>400000</v>
      </c>
    </row>
    <row r="3" spans="1:7">
      <c r="A3" t="s">
        <v>10</v>
      </c>
      <c r="B3" t="s">
        <v>11</v>
      </c>
      <c r="C3" t="s">
        <v>12</v>
      </c>
      <c r="D3">
        <v>4</v>
      </c>
      <c r="E3" t="str">
        <f xml:space="preserve">VLOOKUP(C3,SanPham!$A$2:$C$8,2,1)</f>
        <v>Balo hoc sinh</v>
      </c>
      <c r="F3">
        <f xml:space="preserve">VLOOKUP(C3,SanPham!$A$2:$C$8,3,1)</f>
        <v>250000</v>
      </c>
      <c r="G3">
        <f xml:space="preserve">D3*F3</f>
        <v>1000000</v>
      </c>
    </row>
    <row r="4" hidden="1" spans="1:7">
      <c r="A4" t="s">
        <v>13</v>
      </c>
      <c r="B4" t="s">
        <v>14</v>
      </c>
      <c r="C4" t="s">
        <v>15</v>
      </c>
      <c r="D4">
        <v>2</v>
      </c>
      <c r="E4" t="str">
        <f xml:space="preserve">VLOOKUP(C4,SanPham!$A$2:$C$8,2,1)</f>
        <v>Hop but da nang</v>
      </c>
      <c r="F4">
        <f xml:space="preserve">VLOOKUP(C4,SanPham!$A$2:$C$8,3,1)</f>
        <v>45000</v>
      </c>
      <c r="G4">
        <f t="shared" ref="G3:G16" si="0" xml:space="preserve">D4*F4</f>
        <v>90000</v>
      </c>
    </row>
    <row r="5" spans="1:7">
      <c r="A5" t="s">
        <v>16</v>
      </c>
      <c r="B5" t="s">
        <v>17</v>
      </c>
      <c r="C5" t="s">
        <v>9</v>
      </c>
      <c r="D5">
        <v>5</v>
      </c>
      <c r="E5" t="str">
        <f xml:space="preserve">VLOOKUP(C5,SanPham!$A$2:$C$8,2,1)</f>
        <v>Ke sach mini</v>
      </c>
      <c r="F5">
        <f xml:space="preserve">VLOOKUP(C5,SanPham!$A$2:$C$8,3,1)</f>
        <v>100000</v>
      </c>
      <c r="G5">
        <f t="shared" si="0"/>
        <v>500000</v>
      </c>
    </row>
    <row r="6" hidden="1" spans="1:7">
      <c r="A6" t="s">
        <v>18</v>
      </c>
      <c r="B6" t="s">
        <v>19</v>
      </c>
      <c r="C6" t="s">
        <v>20</v>
      </c>
      <c r="D6">
        <v>1</v>
      </c>
      <c r="E6" t="str">
        <f xml:space="preserve">VLOOKUP(C6,SanPham!$A$2:$C$8,2,1)</f>
        <v>Balo hoc sinh</v>
      </c>
      <c r="F6">
        <f xml:space="preserve">VLOOKUP(C6,SanPham!$A$2:$C$8,3,1)</f>
        <v>250000</v>
      </c>
      <c r="G6">
        <f t="shared" si="0"/>
        <v>250000</v>
      </c>
    </row>
    <row r="7" spans="1:7">
      <c r="A7" t="s">
        <v>21</v>
      </c>
      <c r="B7" t="s">
        <v>22</v>
      </c>
      <c r="C7" t="s">
        <v>20</v>
      </c>
      <c r="D7">
        <v>4</v>
      </c>
      <c r="E7" t="str">
        <f xml:space="preserve">VLOOKUP(C7,SanPham!$A$2:$C$8,2,1)</f>
        <v>Balo hoc sinh</v>
      </c>
      <c r="F7">
        <f xml:space="preserve">VLOOKUP(C7,SanPham!$A$2:$C$8,3,1)</f>
        <v>250000</v>
      </c>
      <c r="G7">
        <f t="shared" si="0"/>
        <v>1000000</v>
      </c>
    </row>
    <row r="8" spans="1:7">
      <c r="A8" t="s">
        <v>23</v>
      </c>
      <c r="B8" t="s">
        <v>24</v>
      </c>
      <c r="C8" t="s">
        <v>12</v>
      </c>
      <c r="D8">
        <v>5</v>
      </c>
      <c r="E8" t="str">
        <f xml:space="preserve">VLOOKUP(C8,SanPham!$A$2:$C$8,2,1)</f>
        <v>Balo hoc sinh</v>
      </c>
      <c r="F8">
        <f xml:space="preserve">VLOOKUP(C8,SanPham!$A$2:$C$8,3,1)</f>
        <v>250000</v>
      </c>
      <c r="G8">
        <f t="shared" si="0"/>
        <v>1250000</v>
      </c>
    </row>
    <row r="9" hidden="1" spans="1:7">
      <c r="A9" t="s">
        <v>25</v>
      </c>
      <c r="B9" t="s">
        <v>26</v>
      </c>
      <c r="C9" t="s">
        <v>15</v>
      </c>
      <c r="D9">
        <v>3</v>
      </c>
      <c r="E9" t="str">
        <f xml:space="preserve">VLOOKUP(C9,SanPham!$A$2:$C$8,2,1)</f>
        <v>Hop but da nang</v>
      </c>
      <c r="F9">
        <f xml:space="preserve">VLOOKUP(C9,SanPham!$A$2:$C$8,3,1)</f>
        <v>45000</v>
      </c>
      <c r="G9">
        <f t="shared" si="0"/>
        <v>135000</v>
      </c>
    </row>
    <row r="10" spans="1:7">
      <c r="A10" t="s">
        <v>27</v>
      </c>
      <c r="B10" t="s">
        <v>28</v>
      </c>
      <c r="C10" t="s">
        <v>12</v>
      </c>
      <c r="D10">
        <v>2</v>
      </c>
      <c r="E10" t="str">
        <f xml:space="preserve">VLOOKUP(C10,SanPham!$A$2:$C$8,2,1)</f>
        <v>Balo hoc sinh</v>
      </c>
      <c r="F10">
        <f xml:space="preserve">VLOOKUP(C10,SanPham!$A$2:$C$8,3,1)</f>
        <v>250000</v>
      </c>
      <c r="G10">
        <f t="shared" si="0"/>
        <v>500000</v>
      </c>
    </row>
    <row r="11" hidden="1" spans="1:7">
      <c r="A11" t="s">
        <v>29</v>
      </c>
      <c r="B11" t="s">
        <v>30</v>
      </c>
      <c r="C11" t="s">
        <v>31</v>
      </c>
      <c r="D11">
        <v>2</v>
      </c>
      <c r="E11" t="str">
        <f xml:space="preserve">VLOOKUP(C11,SanPham!$A$2:$C$8,2,1)</f>
        <v>Hop but da nang</v>
      </c>
      <c r="F11">
        <f xml:space="preserve">VLOOKUP(C11,SanPham!$A$2:$C$8,3,1)</f>
        <v>45000</v>
      </c>
      <c r="G11">
        <f t="shared" si="0"/>
        <v>90000</v>
      </c>
    </row>
    <row r="12" spans="1:7">
      <c r="A12" t="s">
        <v>32</v>
      </c>
      <c r="B12" t="s">
        <v>33</v>
      </c>
      <c r="C12" t="s">
        <v>34</v>
      </c>
      <c r="D12">
        <v>2</v>
      </c>
      <c r="E12" t="str">
        <f xml:space="preserve">VLOOKUP(C12,SanPham!$A$2:$C$8,2,1)</f>
        <v>Balo hoc sinh</v>
      </c>
      <c r="F12">
        <f xml:space="preserve">VLOOKUP(C12,SanPham!$A$2:$C$8,3,1)</f>
        <v>250000</v>
      </c>
      <c r="G12">
        <f t="shared" si="0"/>
        <v>500000</v>
      </c>
    </row>
    <row r="13" hidden="1" spans="1:7">
      <c r="A13" t="s">
        <v>35</v>
      </c>
      <c r="B13" t="s">
        <v>36</v>
      </c>
      <c r="C13" t="s">
        <v>15</v>
      </c>
      <c r="D13">
        <v>3</v>
      </c>
      <c r="E13" t="str">
        <f xml:space="preserve">VLOOKUP(C13,SanPham!$A$2:$C$8,2,1)</f>
        <v>Hop but da nang</v>
      </c>
      <c r="F13">
        <f xml:space="preserve">VLOOKUP(C13,SanPham!$A$2:$C$8,3,1)</f>
        <v>45000</v>
      </c>
      <c r="G13">
        <f t="shared" si="0"/>
        <v>135000</v>
      </c>
    </row>
    <row r="14" spans="1:7">
      <c r="A14" t="s">
        <v>37</v>
      </c>
      <c r="B14" t="s">
        <v>38</v>
      </c>
      <c r="C14" t="s">
        <v>20</v>
      </c>
      <c r="D14">
        <v>5</v>
      </c>
      <c r="E14" t="str">
        <f xml:space="preserve">VLOOKUP(C14,SanPham!$A$2:$C$8,2,1)</f>
        <v>Balo hoc sinh</v>
      </c>
      <c r="F14">
        <f xml:space="preserve">VLOOKUP(C14,SanPham!$A$2:$C$8,3,1)</f>
        <v>250000</v>
      </c>
      <c r="G14">
        <f t="shared" si="0"/>
        <v>1250000</v>
      </c>
    </row>
    <row r="15" spans="1:7">
      <c r="A15" t="s">
        <v>39</v>
      </c>
      <c r="B15" t="s">
        <v>40</v>
      </c>
      <c r="C15" t="s">
        <v>9</v>
      </c>
      <c r="D15">
        <v>4</v>
      </c>
      <c r="E15" t="str">
        <f xml:space="preserve">VLOOKUP(C15,SanPham!$A$2:$C$8,2,1)</f>
        <v>Ke sach mini</v>
      </c>
      <c r="F15">
        <f xml:space="preserve">VLOOKUP(C15,SanPham!$A$2:$C$8,3,1)</f>
        <v>100000</v>
      </c>
      <c r="G15">
        <f t="shared" si="0"/>
        <v>400000</v>
      </c>
    </row>
    <row r="16" spans="1:7">
      <c r="A16" t="s">
        <v>41</v>
      </c>
      <c r="B16" t="s">
        <v>42</v>
      </c>
      <c r="C16" t="s">
        <v>43</v>
      </c>
      <c r="D16">
        <v>5</v>
      </c>
      <c r="E16" t="str">
        <f xml:space="preserve">VLOOKUP(C16,SanPham!$A$2:$C$8,2,1)</f>
        <v>Balo hoc sinh</v>
      </c>
      <c r="F16">
        <f xml:space="preserve">VLOOKUP(C16,SanPham!$A$2:$C$8,3,1)</f>
        <v>250000</v>
      </c>
      <c r="G16">
        <f t="shared" si="0"/>
        <v>1250000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workbookViewId="0">
      <selection activeCell="A1" sqref="A1"/>
    </sheetView>
  </sheetViews>
  <sheetFormatPr defaultColWidth="9" defaultRowHeight="14.4" outlineLevelRow="7" outlineLevelCol="2"/>
  <cols>
    <col min="1" max="7" width="15" customWidth="1"/>
  </cols>
  <sheetData>
    <row r="1" spans="1:3">
      <c r="A1" t="s">
        <v>2</v>
      </c>
      <c r="B1" t="s">
        <v>4</v>
      </c>
      <c r="C1" t="s">
        <v>5</v>
      </c>
    </row>
    <row r="2" spans="1:3">
      <c r="A2" t="s">
        <v>20</v>
      </c>
      <c r="B2" t="s">
        <v>44</v>
      </c>
      <c r="C2">
        <v>35000</v>
      </c>
    </row>
    <row r="3" spans="1:3">
      <c r="A3" t="s">
        <v>15</v>
      </c>
      <c r="B3" t="s">
        <v>45</v>
      </c>
      <c r="C3">
        <v>60000</v>
      </c>
    </row>
    <row r="4" spans="1:3">
      <c r="A4" t="s">
        <v>34</v>
      </c>
      <c r="B4" t="s">
        <v>46</v>
      </c>
      <c r="C4">
        <v>75000</v>
      </c>
    </row>
    <row r="5" spans="1:3">
      <c r="A5" t="s">
        <v>12</v>
      </c>
      <c r="B5" t="s">
        <v>47</v>
      </c>
      <c r="C5">
        <v>250000</v>
      </c>
    </row>
    <row r="6" spans="1:3">
      <c r="A6" t="s">
        <v>31</v>
      </c>
      <c r="B6" t="s">
        <v>48</v>
      </c>
      <c r="C6">
        <v>150000</v>
      </c>
    </row>
    <row r="7" spans="1:3">
      <c r="A7" t="s">
        <v>9</v>
      </c>
      <c r="B7" t="s">
        <v>49</v>
      </c>
      <c r="C7">
        <v>100000</v>
      </c>
    </row>
    <row r="8" spans="1:3">
      <c r="A8" t="s">
        <v>43</v>
      </c>
      <c r="B8" t="s">
        <v>50</v>
      </c>
      <c r="C8">
        <v>45000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hào mạnh</cp:lastModifiedBy>
  <dcterms:created xsi:type="dcterms:W3CDTF">2026-10-19T09:41:00Z</dcterms:created>
  <dcterms:modified xsi:type="dcterms:W3CDTF">2026-10-23T03:12:09Z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70210D260B6C4DD6BE1DDCB233C7B88A_12</vt:lpwstr>
  </property>
  <property fmtid="{D5CDD505-2E9C-101B-9397-08002B2CF9AE}" pid="3" name="KSOProductBuildVer">
    <vt:lpwstr>1066-12.1.0.29162</vt:lpwstr>
  </property>
  <property fmtid="{D5CDD505-2E9C-101B-9397-08002B2CF9AE}" pid="4" name="CalculationRule">
    <vt:i4>0</vt:i4>
  </property>
</Properties>
</file>